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 Files\Study &amp; Work\Courses\00 Junior Data Analyst Career\"/>
    </mc:Choice>
  </mc:AlternateContent>
  <xr:revisionPtr revIDLastSave="0" documentId="13_ncr:1_{F8881371-F69A-432F-AB30-BB33AE549A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<sst xmlns="http://schemas.openxmlformats.org/spreadsheetml/2006/main" count="50" uniqueCount="46">
  <si>
    <t>Last Name</t>
  </si>
  <si>
    <t>First Name</t>
  </si>
  <si>
    <t>Kern</t>
  </si>
  <si>
    <t>Jon</t>
  </si>
  <si>
    <t>Howard</t>
  </si>
  <si>
    <t>Glenda</t>
  </si>
  <si>
    <t>O'Donnald</t>
  </si>
  <si>
    <t>Ron</t>
  </si>
  <si>
    <t>Hermdandez</t>
  </si>
  <si>
    <t>Wendy</t>
  </si>
  <si>
    <t>Smith</t>
  </si>
  <si>
    <t>Paul</t>
  </si>
  <si>
    <t>Baker</t>
  </si>
  <si>
    <t>Tom</t>
  </si>
  <si>
    <t>Velinda</t>
  </si>
  <si>
    <t>Nancy</t>
  </si>
  <si>
    <t>Camehan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</si>
  <si>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</si>
  <si>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</si>
  <si>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</si>
  <si>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</si>
  <si>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</si>
  <si>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</si>
  <si>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</si>
  <si>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</si>
  <si>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</si>
  <si>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</si>
  <si>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</si>
  <si>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</si>
  <si>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</si>
  <si>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</si>
  <si>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</si>
  <si>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</si>
  <si>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</si>
  <si>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</si>
  <si>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</si>
  <si>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Max</t>
  </si>
  <si>
    <t>Min</t>
  </si>
  <si>
    <t>Average</t>
  </si>
  <si>
    <t>GradeBook</t>
  </si>
  <si>
    <t>Safety  Test</t>
  </si>
  <si>
    <t>Company Philosophy Test</t>
  </si>
  <si>
    <t>Financial Skills Test</t>
  </si>
  <si>
    <t>Drug Test</t>
  </si>
  <si>
    <t>Points Possible</t>
  </si>
  <si>
    <t>Fire Employee?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</si>
</sst>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B1d\-mmm"/>
    <numFmt numFmtId="165" formatCode="_-[$$-409]* #,##0.00_ ;_-[$$-409]* \-#,##0.00\ ;_-[$$-409]* &quot;-&quot;??_ ;_-@_ "/>
    <numFmt numFmtId="170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textRotation="90"/>
    </xf>
    <xf numFmtId="0" fontId="0" fillId="0" borderId="0" xfId="0" applyNumberFormat="1"/>
    <xf numFmtId="9" fontId="0" fillId="0" borderId="0" xfId="0" applyNumberFormat="1"/>
    <xf numFmtId="17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</a:t>
            </a:r>
            <a:r>
              <a:rPr lang="en-US" baseline="0"/>
              <a:t>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Hermdandez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Camehan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4-4821-9ACA-AE2E02A16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720976"/>
        <c:axId val="154721456"/>
      </c:barChart>
      <c:catAx>
        <c:axId val="15472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1456"/>
        <c:crosses val="autoZero"/>
        <c:auto val="1"/>
        <c:lblAlgn val="ctr"/>
        <c:lblOffset val="100"/>
        <c:noMultiLvlLbl val="0"/>
      </c:catAx>
      <c:valAx>
        <c:axId val="1547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</a:t>
            </a:r>
            <a:r>
              <a:rPr lang="en-US" baseline="0"/>
              <a:t> Philosophy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Hermdandez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Camehan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4-4730-813C-7F435271E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660496"/>
        <c:axId val="381660976"/>
      </c:barChart>
      <c:catAx>
        <c:axId val="3816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660976"/>
        <c:crosses val="autoZero"/>
        <c:auto val="1"/>
        <c:lblAlgn val="ctr"/>
        <c:lblOffset val="100"/>
        <c:noMultiLvlLbl val="0"/>
      </c:catAx>
      <c:valAx>
        <c:axId val="38166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6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Hermdandez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Camehan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B-47D3-884F-D22933E8D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664336"/>
        <c:axId val="381664816"/>
      </c:barChart>
      <c:catAx>
        <c:axId val="38166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664816"/>
        <c:crosses val="autoZero"/>
        <c:auto val="1"/>
        <c:lblAlgn val="ctr"/>
        <c:lblOffset val="100"/>
        <c:noMultiLvlLbl val="0"/>
      </c:catAx>
      <c:valAx>
        <c:axId val="3816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66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8370</xdr:colOff>
      <xdr:row>2</xdr:row>
      <xdr:rowOff>177517</xdr:rowOff>
    </xdr:from>
    <xdr:to>
      <xdr:col>21</xdr:col>
      <xdr:colOff>301447</xdr:colOff>
      <xdr:row>17</xdr:row>
      <xdr:rowOff>157420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00B44-6B9F-9252-BCDE-93D829AE1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</xdr:colOff>
      <xdr:row>19</xdr:row>
      <xdr:rowOff>1669</xdr:rowOff>
    </xdr:from>
    <xdr:to>
      <xdr:col>21</xdr:col>
      <xdr:colOff>293079</xdr:colOff>
      <xdr:row>33</xdr:row>
      <xdr:rowOff>165791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54E86D-090F-7E40-A3A6-56D25BF57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602901</xdr:colOff>
      <xdr:row>35</xdr:row>
      <xdr:rowOff>9867</xdr:rowOff>
    </xdr:from>
    <xdr:to>
      <xdr:col>21</xdr:col>
      <xdr:colOff>284703</xdr:colOff>
      <xdr:row>49</xdr:row>
      <xdr:rowOff>173989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B2BE65-89CC-94BE-9AB9-03E0C46EC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tabSelected="1" zoomScale="41" workbookViewId="0">
      <selection activeCell="D24" sqref="D24"/>
    </sheetView>
  </sheetViews>
  <sheetFormatPr defaultRowHeight="14.4" x14ac:dyDescent="0.3"/>
  <cols>
    <col min="1" max="1" width="11.21875" bestFit="1" customWidth="1"/>
    <col min="2" max="2" width="13.109375" bestFit="1" customWidth="1"/>
    <col min="3" max="3" width="5.5546875" bestFit="1" customWidth="1"/>
    <col min="4" max="5" width="6.5546875" bestFit="1" customWidth="1"/>
    <col min="6" max="6" width="5.5546875" bestFit="1" customWidth="1"/>
  </cols>
  <sheetData>
    <row r="1" spans="1:13" ht="119.4" x14ac:dyDescent="0.3">
      <c r="A1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H1" s="3" t="s">
        <v>40</v>
      </c>
      <c r="I1" s="3" t="s">
        <v>41</v>
      </c>
      <c r="J1" s="3" t="s">
        <v>42</v>
      </c>
      <c r="K1" s="3" t="s">
        <v>43</v>
      </c>
      <c r="M1" s="3" t="s">
        <v>45</v>
      </c>
    </row>
    <row r="2" spans="1:13" x14ac:dyDescent="0.3">
      <c r="B2" t="s">
        <v>44</v>
      </c>
      <c r="C2">
        <v>10</v>
      </c>
      <c r="D2">
        <v>20</v>
      </c>
      <c r="E2">
        <v>100</v>
      </c>
      <c r="F2">
        <v>1</v>
      </c>
    </row>
    <row r="3" spans="1:13" x14ac:dyDescent="0.3">
      <c r="A3" t="s">
        <v>0</v>
      </c>
      <c r="B3" t="s">
        <v>1</v>
      </c>
      <c r="D3" s="1"/>
    </row>
    <row r="4" spans="1:13" x14ac:dyDescent="0.3">
      <c r="A4" t="s">
        <v>2</v>
      </c>
      <c r="B4" t="s">
        <v>3</v>
      </c>
      <c r="C4" s="4">
        <v>10</v>
      </c>
      <c r="D4">
        <v>19</v>
      </c>
      <c r="E4" s="4">
        <v>93</v>
      </c>
      <c r="F4" s="4">
        <v>1</v>
      </c>
      <c r="H4" s="5">
        <f>C4/C$2</f>
        <v>1</v>
      </c>
      <c r="I4" s="5">
        <f t="shared" ref="I4:K19" si="0">D4/D$2</f>
        <v>0.95</v>
      </c>
      <c r="J4" s="5">
        <f t="shared" si="0"/>
        <v>0.93</v>
      </c>
      <c r="K4" s="5">
        <f t="shared" si="0"/>
        <v>1</v>
      </c>
      <c r="M4" s="5" t="b">
        <f>OR(H4&lt;0.5,I4&lt;0.5,J4&lt;0.5,K4&lt;0.5)</f>
        <v>0</v>
      </c>
    </row>
    <row r="5" spans="1:13" x14ac:dyDescent="0.3">
      <c r="A5" t="s">
        <v>4</v>
      </c>
      <c r="B5" t="s">
        <v>5</v>
      </c>
      <c r="C5" s="4">
        <v>9</v>
      </c>
      <c r="D5">
        <v>20</v>
      </c>
      <c r="E5" s="4">
        <v>100</v>
      </c>
      <c r="F5" s="4">
        <v>1</v>
      </c>
      <c r="H5" s="5">
        <f t="shared" ref="H5:H20" si="1">C5/C$2</f>
        <v>0.9</v>
      </c>
      <c r="I5" s="5">
        <f t="shared" si="0"/>
        <v>1</v>
      </c>
      <c r="J5" s="5">
        <f t="shared" si="0"/>
        <v>1</v>
      </c>
      <c r="K5" s="5">
        <f t="shared" si="0"/>
        <v>1</v>
      </c>
      <c r="M5" s="5" t="b">
        <f>OR(H5&lt;0.5,I5&lt;0.5,J5&lt;0.5,K5&lt;0.5)</f>
        <v>0</v>
      </c>
    </row>
    <row r="6" spans="1:13" x14ac:dyDescent="0.3">
      <c r="A6" t="s">
        <v>6</v>
      </c>
      <c r="B6" t="s">
        <v>7</v>
      </c>
      <c r="C6" s="4">
        <v>8</v>
      </c>
      <c r="D6">
        <v>17</v>
      </c>
      <c r="E6" s="4">
        <v>82</v>
      </c>
      <c r="F6" s="4">
        <v>1</v>
      </c>
      <c r="H6" s="5">
        <f t="shared" si="1"/>
        <v>0.8</v>
      </c>
      <c r="I6" s="5">
        <f t="shared" si="0"/>
        <v>0.85</v>
      </c>
      <c r="J6" s="5">
        <f t="shared" si="0"/>
        <v>0.82</v>
      </c>
      <c r="K6" s="5">
        <f t="shared" si="0"/>
        <v>1</v>
      </c>
      <c r="M6" s="5" t="b">
        <f>OR(H6&lt;0.5,I6&lt;0.5,J6&lt;0.5,K6&lt;0.5)</f>
        <v>0</v>
      </c>
    </row>
    <row r="7" spans="1:13" x14ac:dyDescent="0.3">
      <c r="A7" t="s">
        <v>8</v>
      </c>
      <c r="B7" t="s">
        <v>9</v>
      </c>
      <c r="C7" s="4">
        <v>9</v>
      </c>
      <c r="D7">
        <v>10</v>
      </c>
      <c r="E7" s="4">
        <v>73</v>
      </c>
      <c r="F7" s="4">
        <v>1</v>
      </c>
      <c r="H7" s="5">
        <f t="shared" si="1"/>
        <v>0.9</v>
      </c>
      <c r="I7" s="5">
        <f t="shared" si="0"/>
        <v>0.5</v>
      </c>
      <c r="J7" s="5">
        <f t="shared" si="0"/>
        <v>0.73</v>
      </c>
      <c r="K7" s="5">
        <f t="shared" si="0"/>
        <v>1</v>
      </c>
      <c r="M7" s="5" t="b">
        <f>OR(H7&lt;0.5,I7&lt;0.5,J7&lt;0.5,K7&lt;0.5)</f>
        <v>0</v>
      </c>
    </row>
    <row r="8" spans="1:13" x14ac:dyDescent="0.3">
      <c r="A8" t="s">
        <v>10</v>
      </c>
      <c r="B8" t="s">
        <v>11</v>
      </c>
      <c r="C8" s="4">
        <v>10</v>
      </c>
      <c r="D8">
        <v>20</v>
      </c>
      <c r="E8" s="4">
        <v>59</v>
      </c>
      <c r="F8" s="4">
        <v>1</v>
      </c>
      <c r="H8" s="5">
        <f t="shared" si="1"/>
        <v>1</v>
      </c>
      <c r="I8" s="5">
        <f t="shared" si="0"/>
        <v>1</v>
      </c>
      <c r="J8" s="5">
        <f t="shared" si="0"/>
        <v>0.59</v>
      </c>
      <c r="K8" s="5">
        <f t="shared" si="0"/>
        <v>1</v>
      </c>
      <c r="M8" s="5" t="b">
        <f>OR(H8&lt;0.5,I8&lt;0.5,J8&lt;0.5,K8&lt;0.5)</f>
        <v>0</v>
      </c>
    </row>
    <row r="9" spans="1:13" x14ac:dyDescent="0.3">
      <c r="A9" t="s">
        <v>12</v>
      </c>
      <c r="B9" t="s">
        <v>13</v>
      </c>
      <c r="C9" s="4">
        <v>9</v>
      </c>
      <c r="D9">
        <v>17</v>
      </c>
      <c r="E9" s="4">
        <v>100</v>
      </c>
      <c r="F9" s="4">
        <v>1</v>
      </c>
      <c r="H9" s="5">
        <f t="shared" si="1"/>
        <v>0.9</v>
      </c>
      <c r="I9" s="5">
        <f t="shared" si="0"/>
        <v>0.85</v>
      </c>
      <c r="J9" s="5">
        <f t="shared" si="0"/>
        <v>1</v>
      </c>
      <c r="K9" s="5">
        <f t="shared" si="0"/>
        <v>1</v>
      </c>
      <c r="M9" s="5" t="b">
        <f>OR(H9&lt;0.5,I9&lt;0.5,J9&lt;0.5,K9&lt;0.5)</f>
        <v>0</v>
      </c>
    </row>
    <row r="10" spans="1:13" x14ac:dyDescent="0.3">
      <c r="A10" t="s">
        <v>14</v>
      </c>
      <c r="B10" t="s">
        <v>15</v>
      </c>
      <c r="C10" s="4">
        <v>8</v>
      </c>
      <c r="D10">
        <v>20</v>
      </c>
      <c r="E10" s="4">
        <v>100</v>
      </c>
      <c r="F10" s="4">
        <v>0</v>
      </c>
      <c r="H10" s="5">
        <f t="shared" si="1"/>
        <v>0.8</v>
      </c>
      <c r="I10" s="5">
        <f t="shared" si="0"/>
        <v>1</v>
      </c>
      <c r="J10" s="5">
        <f t="shared" si="0"/>
        <v>1</v>
      </c>
      <c r="K10" s="5">
        <f t="shared" si="0"/>
        <v>0</v>
      </c>
      <c r="M10" s="5" t="b">
        <f>OR(H10&lt;0.5,I10&lt;0.5,J10&lt;0.5,K10&lt;0.5)</f>
        <v>1</v>
      </c>
    </row>
    <row r="11" spans="1:13" x14ac:dyDescent="0.3">
      <c r="A11" t="s">
        <v>16</v>
      </c>
      <c r="B11" t="s">
        <v>17</v>
      </c>
      <c r="C11" s="4">
        <v>5</v>
      </c>
      <c r="D11">
        <v>6</v>
      </c>
      <c r="E11" s="4">
        <v>100</v>
      </c>
      <c r="F11" s="4">
        <v>1</v>
      </c>
      <c r="H11" s="5">
        <f t="shared" si="1"/>
        <v>0.5</v>
      </c>
      <c r="I11" s="5">
        <f t="shared" si="0"/>
        <v>0.3</v>
      </c>
      <c r="J11" s="5">
        <f t="shared" si="0"/>
        <v>1</v>
      </c>
      <c r="K11" s="5">
        <f t="shared" si="0"/>
        <v>1</v>
      </c>
      <c r="M11" s="5" t="b">
        <f>OR(H11&lt;0.5,I11&lt;0.5,J11&lt;0.5,K11&lt;0.5)</f>
        <v>1</v>
      </c>
    </row>
    <row r="12" spans="1:13" x14ac:dyDescent="0.3">
      <c r="A12" t="s">
        <v>18</v>
      </c>
      <c r="B12" t="s">
        <v>19</v>
      </c>
      <c r="C12" s="4">
        <v>10</v>
      </c>
      <c r="D12">
        <v>20</v>
      </c>
      <c r="E12" s="4">
        <v>67</v>
      </c>
      <c r="F12" s="4">
        <v>1</v>
      </c>
      <c r="H12" s="5">
        <f t="shared" si="1"/>
        <v>1</v>
      </c>
      <c r="I12" s="5">
        <f t="shared" si="0"/>
        <v>1</v>
      </c>
      <c r="J12" s="5">
        <f t="shared" si="0"/>
        <v>0.67</v>
      </c>
      <c r="K12" s="5">
        <f t="shared" si="0"/>
        <v>1</v>
      </c>
      <c r="M12" s="5" t="b">
        <f>OR(H12&lt;0.5,I12&lt;0.5,J12&lt;0.5,K12&lt;0.5)</f>
        <v>0</v>
      </c>
    </row>
    <row r="13" spans="1:13" x14ac:dyDescent="0.3">
      <c r="A13" t="s">
        <v>20</v>
      </c>
      <c r="B13" t="s">
        <v>21</v>
      </c>
      <c r="C13" s="4">
        <v>9</v>
      </c>
      <c r="D13">
        <v>20</v>
      </c>
      <c r="E13" s="4">
        <v>70</v>
      </c>
      <c r="F13" s="4">
        <v>1</v>
      </c>
      <c r="H13" s="5">
        <f t="shared" si="1"/>
        <v>0.9</v>
      </c>
      <c r="I13" s="5">
        <f t="shared" si="0"/>
        <v>1</v>
      </c>
      <c r="J13" s="5">
        <f t="shared" si="0"/>
        <v>0.7</v>
      </c>
      <c r="K13" s="5">
        <f t="shared" si="0"/>
        <v>1</v>
      </c>
      <c r="M13" s="5" t="b">
        <f>OR(H13&lt;0.5,I13&lt;0.5,J13&lt;0.5,K13&lt;0.5)</f>
        <v>0</v>
      </c>
    </row>
    <row r="14" spans="1:13" x14ac:dyDescent="0.3">
      <c r="A14" t="s">
        <v>22</v>
      </c>
      <c r="B14" t="s">
        <v>23</v>
      </c>
      <c r="C14" s="4">
        <v>10</v>
      </c>
      <c r="D14">
        <v>19</v>
      </c>
      <c r="E14" s="4">
        <v>80</v>
      </c>
      <c r="F14" s="4">
        <v>1</v>
      </c>
      <c r="H14" s="5">
        <f t="shared" si="1"/>
        <v>1</v>
      </c>
      <c r="I14" s="5">
        <f t="shared" si="0"/>
        <v>0.95</v>
      </c>
      <c r="J14" s="5">
        <f t="shared" si="0"/>
        <v>0.8</v>
      </c>
      <c r="K14" s="5">
        <f t="shared" si="0"/>
        <v>1</v>
      </c>
      <c r="M14" s="5" t="b">
        <f>OR(H14&lt;0.5,I14&lt;0.5,J14&lt;0.5,K14&lt;0.5)</f>
        <v>0</v>
      </c>
    </row>
    <row r="15" spans="1:13" x14ac:dyDescent="0.3">
      <c r="A15" t="s">
        <v>24</v>
      </c>
      <c r="B15" t="s">
        <v>25</v>
      </c>
      <c r="C15" s="4">
        <v>8</v>
      </c>
      <c r="D15">
        <v>17</v>
      </c>
      <c r="E15" s="4">
        <v>90</v>
      </c>
      <c r="F15" s="4">
        <v>1</v>
      </c>
      <c r="H15" s="5">
        <f t="shared" si="1"/>
        <v>0.8</v>
      </c>
      <c r="I15" s="5">
        <f t="shared" si="0"/>
        <v>0.85</v>
      </c>
      <c r="J15" s="5">
        <f t="shared" si="0"/>
        <v>0.9</v>
      </c>
      <c r="K15" s="5">
        <f t="shared" si="0"/>
        <v>1</v>
      </c>
      <c r="M15" s="5" t="b">
        <f>OR(H15&lt;0.5,I15&lt;0.5,J15&lt;0.5,K15&lt;0.5)</f>
        <v>0</v>
      </c>
    </row>
    <row r="16" spans="1:13" x14ac:dyDescent="0.3">
      <c r="A16" t="s">
        <v>26</v>
      </c>
      <c r="B16" t="s">
        <v>27</v>
      </c>
      <c r="C16" s="4">
        <v>9</v>
      </c>
      <c r="D16">
        <v>19</v>
      </c>
      <c r="E16" s="4">
        <v>45</v>
      </c>
      <c r="F16" s="4">
        <v>0</v>
      </c>
      <c r="H16" s="5">
        <f t="shared" si="1"/>
        <v>0.9</v>
      </c>
      <c r="I16" s="5">
        <f t="shared" si="0"/>
        <v>0.95</v>
      </c>
      <c r="J16" s="5">
        <f t="shared" si="0"/>
        <v>0.45</v>
      </c>
      <c r="K16" s="5">
        <f t="shared" si="0"/>
        <v>0</v>
      </c>
      <c r="M16" s="5" t="b">
        <f>OR(H16&lt;0.5,I16&lt;0.5,J16&lt;0.5,K16&lt;0.5)</f>
        <v>1</v>
      </c>
    </row>
    <row r="17" spans="1:13" x14ac:dyDescent="0.3">
      <c r="A17" t="s">
        <v>28</v>
      </c>
      <c r="B17" t="s">
        <v>29</v>
      </c>
      <c r="C17" s="4">
        <v>7</v>
      </c>
      <c r="D17">
        <v>20</v>
      </c>
      <c r="E17" s="4">
        <v>90</v>
      </c>
      <c r="F17" s="4">
        <v>1</v>
      </c>
      <c r="H17" s="5">
        <f t="shared" si="1"/>
        <v>0.7</v>
      </c>
      <c r="I17" s="5">
        <f t="shared" si="0"/>
        <v>1</v>
      </c>
      <c r="J17" s="5">
        <f t="shared" si="0"/>
        <v>0.9</v>
      </c>
      <c r="K17" s="5">
        <f t="shared" si="0"/>
        <v>1</v>
      </c>
      <c r="M17" s="5" t="b">
        <f>OR(H17&lt;0.5,I17&lt;0.5,J17&lt;0.5,K17&lt;0.5)</f>
        <v>0</v>
      </c>
    </row>
    <row r="18" spans="1:13" x14ac:dyDescent="0.3">
      <c r="A18" t="s">
        <v>30</v>
      </c>
      <c r="B18" t="s">
        <v>31</v>
      </c>
      <c r="C18" s="4">
        <v>10</v>
      </c>
      <c r="D18">
        <v>10</v>
      </c>
      <c r="E18" s="4">
        <v>80</v>
      </c>
      <c r="F18" s="4">
        <v>1</v>
      </c>
      <c r="H18" s="5">
        <f t="shared" si="1"/>
        <v>1</v>
      </c>
      <c r="I18" s="5">
        <f t="shared" si="0"/>
        <v>0.5</v>
      </c>
      <c r="J18" s="5">
        <f t="shared" si="0"/>
        <v>0.8</v>
      </c>
      <c r="K18" s="5">
        <f t="shared" si="0"/>
        <v>1</v>
      </c>
      <c r="M18" s="5" t="b">
        <f>OR(H18&lt;0.5,I18&lt;0.5,J18&lt;0.5,K18&lt;0.5)</f>
        <v>0</v>
      </c>
    </row>
    <row r="19" spans="1:13" x14ac:dyDescent="0.3">
      <c r="A19" t="s">
        <v>32</v>
      </c>
      <c r="B19" t="s">
        <v>33</v>
      </c>
      <c r="C19" s="4">
        <v>11</v>
      </c>
      <c r="D19">
        <v>20</v>
      </c>
      <c r="E19" s="4">
        <v>69</v>
      </c>
      <c r="F19" s="4">
        <v>1</v>
      </c>
      <c r="H19" s="5">
        <f t="shared" si="1"/>
        <v>1.1000000000000001</v>
      </c>
      <c r="I19" s="5">
        <f t="shared" si="0"/>
        <v>1</v>
      </c>
      <c r="J19" s="5">
        <f t="shared" si="0"/>
        <v>0.69</v>
      </c>
      <c r="K19" s="5">
        <f t="shared" si="0"/>
        <v>1</v>
      </c>
      <c r="M19" s="5" t="b">
        <f>OR(H19&lt;0.5,I19&lt;0.5,J19&lt;0.5,K19&lt;0.5)</f>
        <v>0</v>
      </c>
    </row>
    <row r="20" spans="1:13" x14ac:dyDescent="0.3">
      <c r="A20" t="s">
        <v>34</v>
      </c>
      <c r="B20" t="s">
        <v>35</v>
      </c>
      <c r="C20" s="4">
        <v>10</v>
      </c>
      <c r="D20">
        <v>14</v>
      </c>
      <c r="E20" s="4">
        <v>90</v>
      </c>
      <c r="F20" s="4">
        <v>1</v>
      </c>
      <c r="H20" s="5">
        <f t="shared" si="1"/>
        <v>1</v>
      </c>
      <c r="I20" s="5">
        <f t="shared" ref="I20" si="2">D20/D$2</f>
        <v>0.7</v>
      </c>
      <c r="J20" s="5">
        <f t="shared" ref="J20" si="3">E20/E$2</f>
        <v>0.9</v>
      </c>
      <c r="K20" s="5">
        <f t="shared" ref="K20" si="4">F20/F$2</f>
        <v>1</v>
      </c>
      <c r="M20" s="5" t="b">
        <f>OR(H20&lt;0.5,I20&lt;0.5,J20&lt;0.5,K20&lt;0.5)</f>
        <v>0</v>
      </c>
    </row>
    <row r="22" spans="1:13" x14ac:dyDescent="0.3">
      <c r="A22" t="s">
        <v>36</v>
      </c>
      <c r="C22" s="7">
        <f>MAX(C4:C20)</f>
        <v>11</v>
      </c>
      <c r="D22" s="7">
        <f t="shared" ref="D22:F22" si="5">MAX(D4:D20)</f>
        <v>20</v>
      </c>
      <c r="E22" s="7">
        <f t="shared" si="5"/>
        <v>100</v>
      </c>
      <c r="F22" s="7">
        <f t="shared" si="5"/>
        <v>1</v>
      </c>
      <c r="H22" s="5">
        <f>MAX(H4:H20)</f>
        <v>1.1000000000000001</v>
      </c>
      <c r="I22" s="5">
        <f t="shared" ref="I22:K22" si="6">MAX(I4:I20)</f>
        <v>1</v>
      </c>
      <c r="J22" s="5">
        <f t="shared" si="6"/>
        <v>1</v>
      </c>
      <c r="K22" s="5">
        <f t="shared" si="6"/>
        <v>1</v>
      </c>
    </row>
    <row r="23" spans="1:13" x14ac:dyDescent="0.3">
      <c r="A23" t="s">
        <v>37</v>
      </c>
      <c r="C23" s="7">
        <f>MIN(C4:C20)</f>
        <v>5</v>
      </c>
      <c r="D23" s="7">
        <f t="shared" ref="D23:F23" si="7">MIN(D4:D20)</f>
        <v>6</v>
      </c>
      <c r="E23" s="7">
        <f t="shared" si="7"/>
        <v>45</v>
      </c>
      <c r="F23" s="7">
        <f t="shared" si="7"/>
        <v>0</v>
      </c>
      <c r="H23" s="5">
        <f>MIN(H4:H20)</f>
        <v>0.5</v>
      </c>
      <c r="I23" s="5">
        <f t="shared" ref="I23:K23" si="8">MIN(I4:I20)</f>
        <v>0.3</v>
      </c>
      <c r="J23" s="5">
        <f t="shared" si="8"/>
        <v>0.45</v>
      </c>
      <c r="K23" s="5">
        <f t="shared" si="8"/>
        <v>0</v>
      </c>
    </row>
    <row r="24" spans="1:13" x14ac:dyDescent="0.3">
      <c r="A24" t="s">
        <v>38</v>
      </c>
      <c r="C24" s="6">
        <f>AVERAGE(C4:C20)</f>
        <v>8.9411764705882355</v>
      </c>
      <c r="D24" s="6">
        <f t="shared" ref="D24:F24" si="9">AVERAGE(D4:D20)</f>
        <v>16.941176470588236</v>
      </c>
      <c r="E24" s="6">
        <f t="shared" si="9"/>
        <v>81.647058823529406</v>
      </c>
      <c r="F24" s="6">
        <f t="shared" si="9"/>
        <v>0.88235294117647056</v>
      </c>
      <c r="H24" s="5">
        <f>AVERAGE(H4:H20)</f>
        <v>0.89411764705882346</v>
      </c>
      <c r="I24" s="5">
        <f t="shared" ref="I24:K24" si="10">AVERAGE(I4:I20)</f>
        <v>0.84705882352941153</v>
      </c>
      <c r="J24" s="5">
        <f t="shared" si="10"/>
        <v>0.81647058823529417</v>
      </c>
      <c r="K24" s="5">
        <f t="shared" si="10"/>
        <v>0.88235294117647056</v>
      </c>
    </row>
    <row r="25" spans="1:13" x14ac:dyDescent="0.3">
      <c r="E25" s="2"/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pageSetup scale="4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2025-11-25T14:55:45Z</cp:lastPrinted>
  <dcterms:created xsi:type="dcterms:W3CDTF">2015-06-05T18:17:20Z</dcterms:created>
  <dcterms:modified xsi:type="dcterms:W3CDTF">2025-11-25T14:55:49Z</dcterms:modified>
</cp:coreProperties>
</file>